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20475c96a146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4b73ace02ee494e"/>
    <x:sheet xmlns:r="http://schemas.openxmlformats.org/officeDocument/2006/relationships" name="Phase 1 MVP" sheetId="2" r:id="R2853f1f2b3bf4834"/>
    <x:sheet xmlns:r="http://schemas.openxmlformats.org/officeDocument/2006/relationships" name="Phase 2 MVP" sheetId="3" r:id="R6b561fc3baec441e"/>
    <x:sheet xmlns:r="http://schemas.openxmlformats.org/officeDocument/2006/relationships" name="Code Review Guidelines" sheetId="4" r:id="R821ec122c689450b"/>
    <x:sheet xmlns:r="http://schemas.openxmlformats.org/officeDocument/2006/relationships" name="Requirements" sheetId="5" r:id="Ra4b5598a9ba14402"/>
    <x:sheet xmlns:r="http://schemas.openxmlformats.org/officeDocument/2006/relationships" name="Lists" sheetId="6" r:id="Rac032536be7c43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22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13df4bdf644fd7" /><Relationship Type="http://schemas.openxmlformats.org/officeDocument/2006/relationships/theme" Target="/xl/theme/theme1.xml" Id="R4ddec6384c4c4d96" /><Relationship Type="http://schemas.openxmlformats.org/officeDocument/2006/relationships/sharedStrings" Target="/xl/sharedStrings.xml" Id="Rbf4fa98744a64b03" /><Relationship Type="http://schemas.openxmlformats.org/officeDocument/2006/relationships/worksheet" Target="/xl/worksheets/sheet1.xml" Id="Rd4b73ace02ee494e" /><Relationship Type="http://schemas.openxmlformats.org/officeDocument/2006/relationships/worksheet" Target="/xl/worksheets/sheet2.xml" Id="R2853f1f2b3bf4834" /><Relationship Type="http://schemas.openxmlformats.org/officeDocument/2006/relationships/worksheet" Target="/xl/worksheets/sheet3.xml" Id="R6b561fc3baec441e" /><Relationship Type="http://schemas.openxmlformats.org/officeDocument/2006/relationships/worksheet" Target="/xl/worksheets/sheet4.xml" Id="R821ec122c689450b" /><Relationship Type="http://schemas.openxmlformats.org/officeDocument/2006/relationships/worksheet" Target="/xl/worksheets/sheet5.xml" Id="Ra4b5598a9ba14402" /><Relationship Type="http://schemas.openxmlformats.org/officeDocument/2006/relationships/worksheet" Target="/xl/worksheets/sheet6.xml" Id="Rac032536be7c433f" /><Relationship Type="http://schemas.microsoft.com/office/2017/10/relationships/person" Target="/xl/persons/person.xml" Id="R127daf6d8dfa4192" /></Relationships>
</file>

<file path=xl/persons/person.xml><?xml version="1.0" encoding="utf-8"?>
<xltc:personList xmlns:xltc="http://schemas.microsoft.com/office/spreadsheetml/2018/threadedcomments">
  <xltc:person displayName="Akhil" id="{ADB9FC84-699D-4142-A2B6-BCF18A90F195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4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e7d5e754ceb46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de809bd1d5d43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4cf1aa0b3b047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e69cdd381f647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Accelerated evidence-led delivery plan targeting a production release by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f>COUNTA('Phase 1 MVP'!B6:B33)+COUNTA('Phase 2 MVP'!B6:B30)</x:f>
        <x:v>53</x:v>
      </x:c>
      <x:c r="C7" s="120"/>
      <x:c r="D7" s="128" t="str">
        <x:v>Phase 1</x:v>
      </x:c>
      <x:c r="E7" s="128" t="str">
        <x:v>Responsive property website with approved content and conversion journeys</x:v>
      </x:c>
      <x:c r="F7" s="129" t="n">
        <x:v>46267</x:v>
      </x:c>
      <x:c r="G7" s="129" t="n">
        <x:v>46325</x:v>
      </x:c>
      <x:c r="H7" s="128" t="n">
        <x:v>28</x:v>
      </x:c>
      <x:c r="I7" s="128" t="str">
        <x:v>In Progress</x:v>
      </x:c>
      <x:c r="J7" s="128" t="str">
        <x:v>Responsive QA, E2E tests, accessibility, performance, and UAT accepted</x:v>
      </x:c>
    </x:row>
    <x:row r="8" ht="52" customHeight="1">
      <x:c r="A8" s="130" t="str">
        <x:v>Completed</x:v>
      </x:c>
      <x:c r="B8" s="131" t="n">
        <x:f>COUNTIF('Phase 1 MVP'!I6:I33,"Completed")+COUNTIF('Phase 2 MVP'!I6:I30,"Completed")</x:f>
        <x:v>5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46321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f>COUNTIF('Phase 1 MVP'!I6:I33,"Planned")+COUNTIF('Phase 2 MVP'!I6:I30,"Planned")</x:f>
        <x:v>21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f>COUNTIF('Phase 1 MVP'!I6:I33,"Not Started")+COUNTIF('Phase 2 MVP'!I6:I30,"Not Started")</x:f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f>COUNTIF('Phase 1 MVP'!I6:I33,"In Progress")+COUNTIF('Phase 2 MVP'!I6:I30,"In Progress")</x:f>
        <x:v>2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f>COUNTIF('Phase 1 MVP'!I6:I33,"Blocked")+COUNTIF('Phase 2 MVP'!I6:I30,"Blocked")+COUNTIF('Phase 1 MVP'!I6:I33,"On Hold")+COUNTIF('Phase 2 MVP'!I6:I30,"On Hold")</x:f>
        <x:v>0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Foundation and design system</x:v>
      </x:c>
      <x:c r="B27" s="129" t="n">
        <x:v>46295</x:v>
      </x:c>
      <x:c r="C27" s="128" t="str">
        <x:v>Approved design tokens, responsive shell, and core architecture</x:v>
      </x:c>
      <x:c r="D27" s="128" t="str">
        <x:v>Weekly working increments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46325</x:v>
      </x:c>
      <x:c r="C28" s="137" t="str">
        <x:v>All website journeys implemented and ready for hardening</x:v>
      </x:c>
      <x:c r="D28" s="137" t="str">
        <x:v>Parallel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46356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46371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Accelerated schedule: working days (Monday–Friday) with controlled task overlap. Phase 1 is feature-complete by 30 October 2026, AI features complete by 15 December 2026, and final release is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In Progress</x:v>
      </x:c>
      <x:c r="J9" s="151" t="str">
        <x:v>Owner-provided project assets</x:v>
      </x:c>
      <x:c r="K9" s="151" t="str">
        <x:v>Confirm copyright, RERA data, pricing policy, and publication permissions.</x:v>
      </x:c>
      <x:c r="L9" s="151" t="str">
        <x:v>In progress: building the approved-content register; next evidence is the asset inventory with ownership and publication status.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palette, typography, layout, imagery, motifs, components, motion, responsive behavior, and prototype disclosure.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In Progress</x:v>
      </x:c>
      <x:c r="J12" s="151" t="str">
        <x:v>T0006 approved</x:v>
      </x:c>
      <x:c r="K12" s="151" t="str">
        <x:v>Confirm accessibility target and final brand fonts.</x:v>
      </x:c>
      <x:c r="L12" s="151" t="str">
        <x:v>In progress: convert the approved visual direction into reusable tokens, component specifications, interaction states, responsive grids, and accessibility rules.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structured models for villas, amenities, plans, locations, contacts, media, and references.</x:v>
      </x:c>
      <x:c r="E13" s="152" t="str">
        <x:v>AKHIL</x:v>
      </x:c>
      <x:c r="F13" s="153" t="n">
        <x:v>4</x:v>
      </x:c>
      <x:c r="G13" s="154" t="n">
        <x:v>46279</x:v>
      </x:c>
      <x:c r="H13" s="154" t="n">
        <x:f>WORKDAY(G13,F13-1)</x:f>
        <x:v>46282</x:v>
      </x:c>
      <x:c r="I13" s="150" t="str">
        <x:v>Planned</x:v>
      </x:c>
      <x:c r="J13" s="151" t="str">
        <x:v>T0004 and T0005</x:v>
      </x:c>
      <x:c r="K13" s="151" t="str">
        <x:v>Choose CMS ownership and content approval workflow.</x:v>
      </x:c>
      <x:c r="L13" s="151" t="str">
        <x:v>Planned: make the content model reusable by the future AI layer.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2</x:v>
      </x:c>
      <x:c r="G14" s="154" t="n">
        <x:v>46286</x:v>
      </x:c>
      <x:c r="H14" s="154" t="n">
        <x:f>WORKDAY(G14,F14-1)</x:f>
        <x:v>46287</x:v>
      </x:c>
      <x:c r="I14" s="150" t="str">
        <x:v>Planned</x:v>
      </x:c>
      <x:c r="J14" s="151" t="str">
        <x:v>T0007 technical direction</x:v>
      </x:c>
      <x:c r="K14" s="151" t="str">
        <x:v>Confirm deployment platform and package manager.</x:v>
      </x:c>
      <x:c r="L14" s="151" t="str">
        <x:v>Planned: establish a production-ready application baseline.</x:v>
      </x:c>
    </x:row>
    <x:row r="15" ht="54" customHeight="1">
      <x:c r="A15" s="150" t="n">
        <x:v>10</x:v>
      </x:c>
      <x:c r="B15" s="150" t="str">
        <x:v>T0010</x:v>
      </x:c>
      <x:c r="C15" s="151" t="str">
        <x:v>Implement core layout</x:v>
      </x:c>
      <x:c r="D15" s="151" t="str">
        <x:v>Build responsive navigation, footer, page shell, loading states, error states, and reusable sections.</x:v>
      </x:c>
      <x:c r="E15" s="152" t="str">
        <x:v>AKHIL</x:v>
      </x:c>
      <x:c r="F15" s="153" t="n">
        <x:v>4</x:v>
      </x:c>
      <x:c r="G15" s="154" t="n">
        <x:v>46288</x:v>
      </x:c>
      <x:c r="H15" s="154" t="n">
        <x:f>WORKDAY(G15,F15-1)</x:f>
        <x:v>46293</x:v>
      </x:c>
      <x:c r="I15" s="150" t="str">
        <x:v>Planned</x:v>
      </x:c>
      <x:c r="J15" s="151" t="str">
        <x:v>T0007 and T0009</x:v>
      </x:c>
      <x:c r="K15" s="151" t="str">
        <x:v>Confirm final navigation labels and mobile menu behavior.</x:v>
      </x:c>
      <x:c r="L15" s="151" t="str">
        <x:v>Planned: provide the shared foundation for all pages.</x:v>
      </x:c>
    </x:row>
    <x:row r="16" ht="54" customHeight="1">
      <x:c r="A16" s="150" t="n">
        <x:v>11</x:v>
      </x:c>
      <x:c r="B16" s="150" t="str">
        <x:v>T0011</x:v>
      </x:c>
      <x:c r="C16" s="151" t="str">
        <x:v>Build homepage</x:v>
      </x:c>
      <x:c r="D16" s="151" t="str">
        <x:v>Create the cinematic hero, project story, highlights, amenities preview, villas preview, location teaser, and conversion actions.</x:v>
      </x:c>
      <x:c r="E16" s="152" t="str">
        <x:v>AKHIL</x:v>
      </x:c>
      <x:c r="F16" s="153" t="n">
        <x:v>5</x:v>
      </x:c>
      <x:c r="G16" s="154" t="n">
        <x:v>46294</x:v>
      </x:c>
      <x:c r="H16" s="154" t="n">
        <x:f>WORKDAY(G16,F16-1)</x:f>
        <x:v>46300</x:v>
      </x:c>
      <x:c r="I16" s="150" t="str">
        <x:v>Planned</x:v>
      </x:c>
      <x:c r="J16" s="151" t="str">
        <x:v>T0010 and approved homepage assets</x:v>
      </x:c>
      <x:c r="K16" s="151" t="str">
        <x:v>Approve hero media, headline, and primary call to action.</x:v>
      </x:c>
      <x:c r="L16" s="151" t="str">
        <x:v>Planned: deliver the primary marketing and discovery experience.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3</x:v>
      </x:c>
      <x:c r="G17" s="154" t="n">
        <x:v>46296</x:v>
      </x:c>
      <x:c r="H17" s="154" t="n">
        <x:f>WORKDAY(G17,F17-1)</x:f>
        <x:v>46300</x:v>
      </x:c>
      <x:c r="I17" s="150" t="str">
        <x:v>Planned</x:v>
      </x:c>
      <x:c r="J17" s="151" t="str">
        <x:v>T0008 and T0010</x:v>
      </x:c>
      <x:c r="K17" s="151" t="str">
        <x:v>Confirm sustainability and security claims with evidence.</x:v>
      </x:c>
      <x:c r="L17" s="151" t="str">
        <x:v>Planned: communicate the community value proposition clearly.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4</x:v>
      </x:c>
      <x:c r="G18" s="154" t="n">
        <x:v>46301</x:v>
      </x:c>
      <x:c r="H18" s="154" t="n">
        <x:f>WORKDAY(G18,F18-1)</x:f>
        <x:v>46304</x:v>
      </x:c>
      <x:c r="I18" s="150" t="str">
        <x:v>Planned</x:v>
      </x:c>
      <x:c r="J18" s="151" t="str">
        <x:v>T0008 and villa data approval</x:v>
      </x:c>
      <x:c r="K18" s="151" t="str">
        <x:v>Confirm villa types, naming, dimensions, and availability rules.</x:v>
      </x:c>
      <x:c r="L18" s="151" t="str">
        <x:v>Planned: enable fast browsing across approved villa options.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46303</x:v>
      </x:c>
      <x:c r="H19" s="154" t="n">
        <x:f>WORKDAY(G19,F19-1)</x:f>
        <x:v>46309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46307</x:v>
      </x:c>
      <x:c r="H20" s="154" t="n">
        <x:f>WORKDAY(G20,F20-1)</x:f>
        <x:v>46309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46310</x:v>
      </x:c>
      <x:c r="H21" s="154" t="n">
        <x:f>WORKDAY(G21,F21-1)</x:f>
        <x:v>46315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46310</x:v>
      </x:c>
      <x:c r="H22" s="154" t="n">
        <x:f>WORKDAY(G22,F22-1)</x:f>
        <x:v>46315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46316</x:v>
      </x:c>
      <x:c r="H23" s="154" t="n">
        <x:f>WORKDAY(G23,F23-1)</x:f>
        <x:v>46318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46316</x:v>
      </x:c>
      <x:c r="H24" s="154" t="n">
        <x:f>WORKDAY(G24,F24-1)</x:f>
        <x:v>46321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46321</x:v>
      </x:c>
      <x:c r="H25" s="154" t="n">
        <x:f>WORKDAY(G25,F25-1)</x:f>
        <x:v>46322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46321</x:v>
      </x:c>
      <x:c r="H26" s="154" t="n">
        <x:f>WORKDAY(G26,F26-1)</x:f>
        <x:v>46323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46322</x:v>
      </x:c>
      <x:c r="H27" s="154" t="n">
        <x:f>WORKDAY(G27,F27-1)</x:f>
        <x:v>46323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46323</x:v>
      </x:c>
      <x:c r="H28" s="154" t="n">
        <x:f>WORKDAY(G28,F28-1)</x:f>
        <x:v>46324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46323</x:v>
      </x:c>
      <x:c r="H29" s="154" t="n">
        <x:f>WORKDAY(G29,F29-1)</x:f>
        <x:v>46324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all templates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46324</x:v>
      </x:c>
      <x:c r="H30" s="154" t="n">
        <x:f>WORKDAY(G30,F30-1)</x:f>
        <x:v>46325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46324</x:v>
      </x:c>
      <x:c r="H31" s="154" t="n">
        <x:f>WORKDAY(G31,F31-1)</x:f>
        <x:v>46325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46325</x:v>
      </x:c>
      <x:c r="H32" s="154" t="n">
        <x:f>WORKDAY(G32,F32-1)</x:f>
        <x:v>46325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46325</x:v>
      </x:c>
      <x:c r="H33" s="159" t="n">
        <x:f>WORKDAY(G33,F33-1)</x:f>
        <x:v>46325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7d5e754ceb462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Accelerated schedule: working days (Monday–Friday) with controlled task overlap. Phase 1 is feature-complete by 30 October 2026, AI features complete by 15 December 2026, and final release is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46321</x:v>
      </x:c>
      <x:c r="H6" s="149" t="n">
        <x:f>WORKDAY(G6,F6-1)</x:f>
        <x:v>46323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46323</x:v>
      </x:c>
      <x:c r="H7" s="154" t="n">
        <x:f>WORKDAY(G7,F7-1)</x:f>
        <x:v>46328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46328</x:v>
      </x:c>
      <x:c r="H8" s="154" t="n">
        <x:f>WORKDAY(G8,F8-1)</x:f>
        <x:v>46331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46330</x:v>
      </x:c>
      <x:c r="H9" s="154" t="n">
        <x:f>WORKDAY(G9,F9-1)</x:f>
        <x:v>46336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46335</x:v>
      </x:c>
      <x:c r="H10" s="154" t="n">
        <x:f>WORKDAY(G10,F10-1)</x:f>
        <x:v>46339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46338</x:v>
      </x:c>
      <x:c r="H11" s="154" t="n">
        <x:f>WORKDAY(G11,F11-1)</x:f>
        <x:v>46343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46342</x:v>
      </x:c>
      <x:c r="H12" s="154" t="n">
        <x:f>WORKDAY(G12,F12-1)</x:f>
        <x:v>46346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46344</x:v>
      </x:c>
      <x:c r="H13" s="154" t="n">
        <x:f>WORKDAY(G13,F13-1)</x:f>
        <x:v>46349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46349</x:v>
      </x:c>
      <x:c r="H14" s="154" t="n">
        <x:f>WORKDAY(G14,F14-1)</x:f>
        <x:v>46352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46349</x:v>
      </x:c>
      <x:c r="H15" s="154" t="n">
        <x:f>WORKDAY(G15,F15-1)</x:f>
        <x:v>46352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responsive messages, streaming, suggested questions, loading, errors, history, feedback, and accessibility.</x:v>
      </x:c>
      <x:c r="E16" s="152" t="str">
        <x:v>AKHIL</x:v>
      </x:c>
      <x:c r="F16" s="153" t="n">
        <x:v>5</x:v>
      </x:c>
      <x:c r="G16" s="154" t="n">
        <x:v>46352</x:v>
      </x:c>
      <x:c r="H16" s="154" t="n">
        <x:f>WORKDAY(G16,F16-1)</x:f>
        <x:v>46358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chat.</x:v>
      </x:c>
      <x:c r="E17" s="152" t="str">
        <x:v>AKHIL</x:v>
      </x:c>
      <x:c r="F17" s="153" t="n">
        <x:v>6</x:v>
      </x:c>
      <x:c r="G17" s="154" t="n">
        <x:v>46353</x:v>
      </x:c>
      <x:c r="H17" s="154" t="n">
        <x:f>WORKDAY(G17,F17-1)</x:f>
        <x:v>46360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46357</x:v>
      </x:c>
      <x:c r="H18" s="154" t="n">
        <x:f>WORKDAY(G18,F18-1)</x:f>
        <x:v>46363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46359</x:v>
      </x:c>
      <x:c r="H19" s="154" t="n">
        <x:f>WORKDAY(G19,F19-1)</x:f>
        <x:v>46365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46363</x:v>
      </x:c>
      <x:c r="H20" s="154" t="n">
        <x:f>WORKDAY(G20,F20-1)</x:f>
        <x:v>46367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46364</x:v>
      </x:c>
      <x:c r="H21" s="154" t="n">
        <x:f>WORKDAY(G21,F21-1)</x:f>
        <x:v>46367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46365</x:v>
      </x:c>
      <x:c r="H22" s="154" t="n">
        <x:f>WORKDAY(G22,F22-1)</x:f>
        <x:v>46370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46366</x:v>
      </x:c>
      <x:c r="H23" s="154" t="n">
        <x:f>WORKDAY(G23,F23-1)</x:f>
        <x:v>46370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46357</x:v>
      </x:c>
      <x:c r="H24" s="154" t="n">
        <x:f>WORKDAY(G24,F24-1)</x:f>
        <x:v>46363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46364</x:v>
      </x:c>
      <x:c r="H25" s="154" t="n">
        <x:f>WORKDAY(G25,F25-1)</x:f>
        <x:v>46367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46366</x:v>
      </x:c>
      <x:c r="H26" s="154" t="n">
        <x:f>WORKDAY(G26,F26-1)</x:f>
        <x:v>46372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46370</x:v>
      </x:c>
      <x:c r="H27" s="154" t="n">
        <x:f>WORKDAY(G27,F27-1)</x:f>
        <x:v>46374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46370</x:v>
      </x:c>
      <x:c r="H28" s="154" t="n">
        <x:f>WORKDAY(G28,F28-1)</x:f>
        <x:v>46372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46377</x:v>
      </x:c>
      <x:c r="H29" s="154" t="n">
        <x:f>WORKDAY(G29,F29-1)</x:f>
        <x:v>46381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f>WORKDAY(G30,F30-1)</x:f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e809bd1d5d438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4cf1aa0b3b047b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Versions are the latest stable/LTS values verified on 2 September 2026; re-verify before installation or upgrade.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16.3.3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70" t="n">
        <x:v>46267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19.2.7</x:v>
      </x:c>
      <x:c r="G8" s="162" t="str">
        <x:v>Current React release compatible with the selected Next.js baseline.</x:v>
      </x:c>
      <x:c r="H8" s="162" t="str">
        <x:v>https://react.dev/versions</x:v>
      </x:c>
      <x:c r="I8" s="170" t="n">
        <x:v>46267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7.0.2</x:v>
      </x:c>
      <x:c r="G9" s="162" t="str">
        <x:v>Strong contracts across UI, API, database, and AI structured outputs.</x:v>
      </x:c>
      <x:c r="H9" s="162" t="str">
        <x:v>https://www.npmjs.com/package/typescript</x:v>
      </x:c>
      <x:c r="I9" s="170" t="n">
        <x:v>46267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70" t="n">
        <x:v>46267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4.5.4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70" t="n">
        <x:v>46267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4.1.11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70" t="n">
        <x:v>46267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1.62.1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70" t="n">
        <x:v>46267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10.9.1</x:v>
      </x:c>
      <x:c r="G27" s="162" t="str">
        <x:v>Enforce agreed correctness and maintainability rules in CI.</x:v>
      </x:c>
      <x:c r="H27" s="162" t="str">
        <x:v>https://www.npmjs.com/package/eslint</x:v>
      </x:c>
      <x:c r="I27" s="170" t="n">
        <x:v>46267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3.9.6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70" t="n">
        <x:v>46267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ce69cdd381f6474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